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'Backlog status'!$A$5:$L$46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6" customWidth="1" min="3" max="3"/>
    <col width="10" customWidth="1" min="4" max="4"/>
    <col width="8" customWidth="1" min="5" max="5"/>
    <col width="11" customWidth="1" min="6" max="6"/>
    <col width="9" customWidth="1" min="7" max="7"/>
    <col width="16" customWidth="1" min="8" max="8"/>
    <col width="17" customWidth="1" min="9" max="9"/>
    <col width="16" customWidth="1" min="10" max="10"/>
    <col width="62" customWidth="1" min="11" max="11"/>
    <col width="46" customWidth="1" min="12" max="12"/>
  </cols>
  <sheetData>
    <row r="1">
      <c r="A1" s="1" t="inlineStr">
        <is>
          <t>Backlog status - development done or not, story by story</t>
        </is>
      </c>
    </row>
    <row r="2" ht="30" customHeight="1">
      <c r="A2" s="2" t="inlineStr">
        <is>
          <t>Stories, epics, priority, phase and effort are copied from 'CDI-Adapter-Epic-Backlog-UploadScreen-v6-FINAL'. The status columns are from the tests and measured runs in the repository, as of 2026-10-10.</t>
        </is>
      </c>
    </row>
    <row r="3" ht="42" customHeight="1">
      <c r="A3" s="2" t="inlineStr">
        <is>
          <t>Legend - Yes: built, every acceptance criterion passes in tests.  Yes - open items: built, but one or more criteria are partial or wait on something from outside (named in the last columns).  Partly: some of it is built.  No: not taken up yet.</t>
        </is>
      </c>
    </row>
    <row r="5" ht="44" customHeight="1">
      <c r="A5" s="3" t="inlineStr">
        <is>
          <t>Story ID</t>
        </is>
      </c>
      <c r="B5" s="3" t="inlineStr">
        <is>
          <t>Epic</t>
        </is>
      </c>
      <c r="C5" s="3" t="inlineStr">
        <is>
          <t>Title</t>
        </is>
      </c>
      <c r="D5" s="3" t="inlineStr">
        <is>
          <t>Priority</t>
        </is>
      </c>
      <c r="E5" s="3" t="inlineStr">
        <is>
          <t>Phase</t>
        </is>
      </c>
      <c r="F5" s="3" t="inlineStr">
        <is>
          <t>Effort pd (ESTIMATE)</t>
        </is>
      </c>
      <c r="G5" s="3" t="inlineStr">
        <is>
          <t>Story points</t>
        </is>
      </c>
      <c r="H5" s="3" t="inlineStr">
        <is>
          <t>Repo status in the v6 workbook (2026-10-04)</t>
        </is>
      </c>
      <c r="I5" s="3" t="inlineStr">
        <is>
          <t>Development done?</t>
        </is>
      </c>
      <c r="J5" s="3" t="inlineStr">
        <is>
          <t>Acceptance criteria passing</t>
        </is>
      </c>
      <c r="K5" s="3" t="inlineStr">
        <is>
          <t>What is still open</t>
        </is>
      </c>
      <c r="L5" s="3" t="inlineStr">
        <is>
          <t>Proof (tests / documents)</t>
        </is>
      </c>
    </row>
    <row r="6">
      <c r="A6" s="4" t="inlineStr">
        <is>
          <t>UP-S1</t>
        </is>
      </c>
      <c r="B6" s="5" t="inlineStr">
        <is>
          <t>UP Scan &amp; upload screen</t>
        </is>
      </c>
      <c r="C6" s="5" t="inlineStr">
        <is>
          <t>Choose, scan or take a picture of the pages and send them</t>
        </is>
      </c>
      <c r="D6" s="4" t="inlineStr">
        <is>
          <t>Must</t>
        </is>
      </c>
      <c r="E6" s="4" t="n">
        <v>1</v>
      </c>
      <c r="F6" s="4" t="n">
        <v>5</v>
      </c>
      <c r="G6" s="4" t="n">
        <v>8</v>
      </c>
      <c r="H6" s="4" t="inlineStr">
        <is>
          <t>Partial</t>
        </is>
      </c>
      <c r="I6" s="6" t="inlineStr">
        <is>
          <t>Yes</t>
        </is>
      </c>
      <c r="J6" s="4" t="inlineStr">
        <is>
          <t>6 of 6</t>
        </is>
      </c>
      <c r="K6" s="5" t="inlineStr">
        <is>
          <t>Not tried on a real phone.</t>
        </is>
      </c>
      <c r="L6" s="5" t="inlineStr">
        <is>
          <t>tests/test_up_s1_acceptance_unit.py (50 passed); docs/test-UP-S1.md</t>
        </is>
      </c>
    </row>
    <row r="7">
      <c r="A7" s="4" t="inlineStr">
        <is>
          <t>UP-S2</t>
        </is>
      </c>
      <c r="B7" s="5" t="inlineStr">
        <is>
          <t>UP Scan &amp; upload screen</t>
        </is>
      </c>
      <c r="C7" s="5" t="inlineStr">
        <is>
          <t>Tell the person at once if a picture is not good enough, and let them retake just that page</t>
        </is>
      </c>
      <c r="D7" s="4" t="inlineStr">
        <is>
          <t>Must</t>
        </is>
      </c>
      <c r="E7" s="4" t="n">
        <v>1</v>
      </c>
      <c r="F7" s="4" t="n">
        <v>3</v>
      </c>
      <c r="G7" s="4" t="n">
        <v>5</v>
      </c>
      <c r="H7" s="4" t="inlineStr">
        <is>
          <t>Partial</t>
        </is>
      </c>
      <c r="I7" s="6" t="inlineStr">
        <is>
          <t>Yes</t>
        </is>
      </c>
      <c r="J7" s="4" t="inlineStr">
        <is>
          <t>5 of 5</t>
        </is>
      </c>
      <c r="K7" s="5" t="inlineStr">
        <is>
          <t>Weekly retake report not yet run on a real database.</t>
        </is>
      </c>
      <c r="L7" s="5" t="inlineStr">
        <is>
          <t>tests/test_up_s2_acceptance_unit.py (38 passed); docs/test-UP-S2.md</t>
        </is>
      </c>
    </row>
    <row r="8">
      <c r="A8" s="4" t="inlineStr">
        <is>
          <t>UP-S3</t>
        </is>
      </c>
      <c r="B8" s="5" t="inlineStr">
        <is>
          <t>UP Scan &amp; upload screen</t>
        </is>
      </c>
      <c r="C8" s="5" t="inlineStr">
        <is>
          <t>Show the result on the screen and let the person download the JSON</t>
        </is>
      </c>
      <c r="D8" s="4" t="inlineStr">
        <is>
          <t>Should</t>
        </is>
      </c>
      <c r="E8" s="4" t="n">
        <v>2</v>
      </c>
      <c r="F8" s="4" t="n">
        <v>5</v>
      </c>
      <c r="G8" s="4" t="n">
        <v>8</v>
      </c>
      <c r="H8" s="4" t="inlineStr">
        <is>
          <t>Partial</t>
        </is>
      </c>
      <c r="I8" s="6" t="inlineStr">
        <is>
          <t>Yes</t>
        </is>
      </c>
      <c r="J8" s="4" t="inlineStr">
        <is>
          <t>5 of 5</t>
        </is>
      </c>
      <c r="K8" s="5" t="inlineStr">
        <is>
          <t>Report-a-wrong-result not yet run on a real database.</t>
        </is>
      </c>
      <c r="L8" s="5" t="inlineStr">
        <is>
          <t>tests/test_up_s3_acceptance_unit.py (67 passed); docs/test-UP-S3.md</t>
        </is>
      </c>
    </row>
    <row r="9">
      <c r="A9" s="4" t="inlineStr">
        <is>
          <t>LS-S1</t>
        </is>
      </c>
      <c r="B9" s="5" t="inlineStr">
        <is>
          <t>LS File listener (watched folder)</t>
        </is>
      </c>
      <c r="C9" s="5" t="inlineStr">
        <is>
          <t>Watch a folder on OneDrive, SharePoint, Google Drive or this computer, chosen by settings only</t>
        </is>
      </c>
      <c r="D9" s="4" t="inlineStr">
        <is>
          <t>Must</t>
        </is>
      </c>
      <c r="E9" s="4" t="n">
        <v>1</v>
      </c>
      <c r="F9" s="4" t="n">
        <v>2</v>
      </c>
      <c r="G9" s="4" t="n">
        <v>3</v>
      </c>
      <c r="H9" s="4" t="inlineStr">
        <is>
          <t>Built</t>
        </is>
      </c>
      <c r="I9" s="7" t="inlineStr">
        <is>
          <t>Yes - open items</t>
        </is>
      </c>
      <c r="J9" s="4" t="inlineStr">
        <is>
          <t>3 of 4</t>
        </is>
      </c>
      <c r="K9" s="5" t="inlineStr">
        <is>
          <t>AC2: the retry-agent half was never re-checked. Cloud drives tested against stand-ins only.</t>
        </is>
      </c>
      <c r="L9" s="5" t="inlineStr">
        <is>
          <t>tests/test_ls_s1_acceptance_unit.py; docs/test-LS-S1.md</t>
        </is>
      </c>
    </row>
    <row r="10">
      <c r="A10" s="4" t="inlineStr">
        <is>
          <t>LS-S2</t>
        </is>
      </c>
      <c r="B10" s="5" t="inlineStr">
        <is>
          <t>LS File listener (watched folder)</t>
        </is>
      </c>
      <c r="C10" s="5" t="inlineStr">
        <is>
          <t>Sign in to the drive safely (no password handled by us)</t>
        </is>
      </c>
      <c r="D10" s="4" t="inlineStr">
        <is>
          <t>Must</t>
        </is>
      </c>
      <c r="E10" s="4" t="n">
        <v>1</v>
      </c>
      <c r="F10" s="4" t="n">
        <v>3</v>
      </c>
      <c r="G10" s="4" t="n">
        <v>5</v>
      </c>
      <c r="H10" s="4" t="inlineStr">
        <is>
          <t>Partial</t>
        </is>
      </c>
      <c r="I10" s="7" t="inlineStr">
        <is>
          <t>Yes - open items</t>
        </is>
      </c>
      <c r="J10" s="4" t="inlineStr">
        <is>
          <t>3 of 4</t>
        </is>
      </c>
      <c r="K10" s="5" t="inlineStr">
        <is>
          <t>AC2: an expired sign-in raises an alert but does not message a person. No real Microsoft account or Entra app yet.</t>
        </is>
      </c>
      <c r="L10" s="5" t="inlineStr">
        <is>
          <t>tests/test_listener_auth_unit.py; docs/test-LS-S2.md</t>
        </is>
      </c>
    </row>
    <row r="11">
      <c r="A11" s="4" t="inlineStr">
        <is>
          <t>LS-S3</t>
        </is>
      </c>
      <c r="B11" s="5" t="inlineStr">
        <is>
          <t>LS File listener (watched folder)</t>
        </is>
      </c>
      <c r="C11" s="5" t="inlineStr">
        <is>
          <t>Pick up only finished, new, allowed files</t>
        </is>
      </c>
      <c r="D11" s="4" t="inlineStr">
        <is>
          <t>Must</t>
        </is>
      </c>
      <c r="E11" s="4" t="n">
        <v>1</v>
      </c>
      <c r="F11" s="4" t="n">
        <v>2</v>
      </c>
      <c r="G11" s="4" t="n">
        <v>3</v>
      </c>
      <c r="H11" s="4" t="inlineStr">
        <is>
          <t>Partial</t>
        </is>
      </c>
      <c r="I11" s="6" t="inlineStr">
        <is>
          <t>Yes</t>
        </is>
      </c>
      <c r="J11" s="4" t="inlineStr">
        <is>
          <t>5 of 5</t>
        </is>
      </c>
      <c r="K11" s="5" t="inlineStr">
        <is>
          <t>The same-file rule in the database is covered by a test that is skipped on the dev PC.</t>
        </is>
      </c>
      <c r="L11" s="5" t="inlineStr">
        <is>
          <t>tests/test_ls_s3_acceptance_unit.py (58 passed); docs/test-LS-S3.md</t>
        </is>
      </c>
    </row>
    <row r="12">
      <c r="A12" s="4" t="inlineStr">
        <is>
          <t>LS-S4</t>
        </is>
      </c>
      <c r="B12" s="5" t="inlineStr">
        <is>
          <t>LS File listener (watched folder)</t>
        </is>
      </c>
      <c r="C12" s="5" t="inlineStr">
        <is>
          <t>Read each image or PDF with the same OCR steps as the upload screen</t>
        </is>
      </c>
      <c r="D12" s="4" t="inlineStr">
        <is>
          <t>Must</t>
        </is>
      </c>
      <c r="E12" s="4" t="n">
        <v>1</v>
      </c>
      <c r="F12" s="4" t="n">
        <v>3</v>
      </c>
      <c r="G12" s="4" t="n">
        <v>5</v>
      </c>
      <c r="H12" s="4" t="inlineStr">
        <is>
          <t>Partial</t>
        </is>
      </c>
      <c r="I12" s="7" t="inlineStr">
        <is>
          <t>Yes - open items</t>
        </is>
      </c>
      <c r="J12" s="4" t="inlineStr">
        <is>
          <t>3 of 5</t>
        </is>
      </c>
      <c r="K12" s="5" t="inlineStr">
        <is>
          <t>AC1 and AC4: the saved document, and screen-against-folder results, were never compared on a database.</t>
        </is>
      </c>
      <c r="L12" s="5" t="inlineStr">
        <is>
          <t>tests/test_ls_s4_acceptance_unit.py; docs/test-LS-S4.md</t>
        </is>
      </c>
    </row>
    <row r="13">
      <c r="A13" s="4" t="inlineStr">
        <is>
          <t>LS-S5</t>
        </is>
      </c>
      <c r="B13" s="5" t="inlineStr">
        <is>
          <t>LS File listener (watched folder)</t>
        </is>
      </c>
      <c r="C13" s="5" t="inlineStr">
        <is>
          <t>Run files in batches of three</t>
        </is>
      </c>
      <c r="D13" s="4" t="inlineStr">
        <is>
          <t>Must</t>
        </is>
      </c>
      <c r="E13" s="4" t="n">
        <v>1</v>
      </c>
      <c r="F13" s="4" t="n">
        <v>1</v>
      </c>
      <c r="G13" s="4" t="n">
        <v>2</v>
      </c>
      <c r="H13" s="4" t="inlineStr">
        <is>
          <t>Built</t>
        </is>
      </c>
      <c r="I13" s="6" t="inlineStr">
        <is>
          <t>Yes</t>
        </is>
      </c>
      <c r="J13" s="4" t="inlineStr">
        <is>
          <t>4 of 4</t>
        </is>
      </c>
      <c r="K13" s="5" t="inlineStr">
        <is>
          <t>None.</t>
        </is>
      </c>
      <c r="L13" s="5" t="inlineStr">
        <is>
          <t>tests/test_ls_s5_acceptance_unit.py (29 passed); docs/test-LS-S5.md</t>
        </is>
      </c>
    </row>
    <row r="14">
      <c r="A14" s="4" t="inlineStr">
        <is>
          <t>LS-S6</t>
        </is>
      </c>
      <c r="B14" s="5" t="inlineStr">
        <is>
          <t>LS File listener (watched folder)</t>
        </is>
      </c>
      <c r="C14" s="5" t="inlineStr">
        <is>
          <t>File each prescription by outcome and keep only the failure reasons in a log folder</t>
        </is>
      </c>
      <c r="D14" s="4" t="inlineStr">
        <is>
          <t>Must</t>
        </is>
      </c>
      <c r="E14" s="4" t="n">
        <v>1</v>
      </c>
      <c r="F14" s="4" t="n">
        <v>2</v>
      </c>
      <c r="G14" s="4" t="n">
        <v>3</v>
      </c>
      <c r="H14" s="4" t="inlineStr">
        <is>
          <t>Built</t>
        </is>
      </c>
      <c r="I14" s="6" t="inlineStr">
        <is>
          <t>Yes</t>
        </is>
      </c>
      <c r="J14" s="4" t="inlineStr">
        <is>
          <t>5 of 5</t>
        </is>
      </c>
      <c r="K14" s="5" t="inlineStr">
        <is>
          <t>AC3 shown with a stand-in for the database.</t>
        </is>
      </c>
      <c r="L14" s="5" t="inlineStr">
        <is>
          <t>tests/test_ls_s6_acceptance_unit.py; docs/test-LS-S6.md</t>
        </is>
      </c>
    </row>
    <row r="15">
      <c r="A15" s="4" t="inlineStr">
        <is>
          <t>LS-S7</t>
        </is>
      </c>
      <c r="B15" s="5" t="inlineStr">
        <is>
          <t>LS File listener (watched folder)</t>
        </is>
      </c>
      <c r="C15" s="5" t="inlineStr">
        <is>
          <t>Retry a failed file 3 times, then hand it to a person</t>
        </is>
      </c>
      <c r="D15" s="4" t="inlineStr">
        <is>
          <t>Must</t>
        </is>
      </c>
      <c r="E15" s="4" t="n">
        <v>1</v>
      </c>
      <c r="F15" s="4" t="n">
        <v>2</v>
      </c>
      <c r="G15" s="4" t="n">
        <v>3</v>
      </c>
      <c r="H15" s="4" t="inlineStr">
        <is>
          <t>Partial</t>
        </is>
      </c>
      <c r="I15" s="7" t="inlineStr">
        <is>
          <t>Yes - open items</t>
        </is>
      </c>
      <c r="J15" s="4" t="inlineStr">
        <is>
          <t>3 of 4</t>
        </is>
      </c>
      <c r="K15" s="5" t="inlineStr">
        <is>
          <t>AC4: a quarantined file shows in the website banner, but nobody away from a screen is told (needs ENT-S4).</t>
        </is>
      </c>
      <c r="L15" s="5" t="inlineStr">
        <is>
          <t>tests/test_ls_s7_acceptance_unit.py; docs/test-LS-S7.md</t>
        </is>
      </c>
    </row>
    <row r="16">
      <c r="A16" s="4" t="inlineStr">
        <is>
          <t>LS-S8</t>
        </is>
      </c>
      <c r="B16" s="5" t="inlineStr">
        <is>
          <t>LS File listener (watched folder)</t>
        </is>
      </c>
      <c r="C16" s="5" t="inlineStr">
        <is>
          <t>Give the same database rows and JSON as an upload, and say where each result came from</t>
        </is>
      </c>
      <c r="D16" s="4" t="inlineStr">
        <is>
          <t>Must</t>
        </is>
      </c>
      <c r="E16" s="4" t="n">
        <v>1</v>
      </c>
      <c r="F16" s="4" t="n">
        <v>2</v>
      </c>
      <c r="G16" s="4" t="n">
        <v>3</v>
      </c>
      <c r="H16" s="4" t="inlineStr">
        <is>
          <t>Partial</t>
        </is>
      </c>
      <c r="I16" s="6" t="inlineStr">
        <is>
          <t>Yes</t>
        </is>
      </c>
      <c r="J16" s="4" t="inlineStr">
        <is>
          <t>4 of 4</t>
        </is>
      </c>
      <c r="K16" s="5" t="inlineStr">
        <is>
          <t>None.</t>
        </is>
      </c>
      <c r="L16" s="5" t="inlineStr">
        <is>
          <t>tests/test_ls_s8_acceptance_unit.py (34 passed); docs/test-LS-S8.md</t>
        </is>
      </c>
    </row>
    <row r="17">
      <c r="A17" s="4" t="inlineStr">
        <is>
          <t>LS-S9</t>
        </is>
      </c>
      <c r="B17" s="5" t="inlineStr">
        <is>
          <t>LS File listener (watched folder)</t>
        </is>
      </c>
      <c r="C17" s="5" t="inlineStr">
        <is>
          <t>Keep the listener running, restart-safe and visible</t>
        </is>
      </c>
      <c r="D17" s="4" t="inlineStr">
        <is>
          <t>Should</t>
        </is>
      </c>
      <c r="E17" s="4" t="n">
        <v>1</v>
      </c>
      <c r="F17" s="4" t="n">
        <v>3</v>
      </c>
      <c r="G17" s="4" t="n">
        <v>5</v>
      </c>
      <c r="H17" s="4" t="inlineStr">
        <is>
          <t>Partial</t>
        </is>
      </c>
      <c r="I17" s="6" t="inlineStr">
        <is>
          <t>Yes</t>
        </is>
      </c>
      <c r="J17" s="4" t="inlineStr">
        <is>
          <t>4 of 4</t>
        </is>
      </c>
      <c r="K17" s="5" t="inlineStr">
        <is>
          <t>Alerts reach the website banner only; no email, chat or pager.</t>
        </is>
      </c>
      <c r="L17" s="5" t="inlineStr">
        <is>
          <t>tests/test_ls_s9_acceptance_unit.py; docs/test-LS-S9.md</t>
        </is>
      </c>
    </row>
    <row r="18">
      <c r="A18" s="4" t="inlineStr">
        <is>
          <t>LS-S10</t>
        </is>
      </c>
      <c r="B18" s="5" t="inlineStr">
        <is>
          <t>LS File listener (watched folder)</t>
        </is>
      </c>
      <c r="C18" s="5" t="inlineStr">
        <is>
          <t>Prove it on a real drive and under load</t>
        </is>
      </c>
      <c r="D18" s="4" t="inlineStr">
        <is>
          <t>Must</t>
        </is>
      </c>
      <c r="E18" s="4" t="n">
        <v>1</v>
      </c>
      <c r="F18" s="4" t="n">
        <v>3</v>
      </c>
      <c r="G18" s="4" t="n">
        <v>5</v>
      </c>
      <c r="H18" s="4" t="inlineStr">
        <is>
          <t>Not built</t>
        </is>
      </c>
      <c r="I18" s="7" t="inlineStr">
        <is>
          <t>Yes - open items</t>
        </is>
      </c>
      <c r="J18" s="4" t="inlineStr">
        <is>
          <t>2 of 4</t>
        </is>
      </c>
      <c r="K18" s="5" t="inlineStr">
        <is>
          <t>AC1 and AC2 not run: the real OneDrive (Microsoft API) and Google Drive need the owner's Entra client id, a sign-in and a Google service account.</t>
        </is>
      </c>
      <c r="L18" s="5" t="inlineStr">
        <is>
          <t>tests/test_ls_s10_acceptance_unit.py; docs/evidence/LS-S10/</t>
        </is>
      </c>
    </row>
    <row r="19">
      <c r="A19" s="4" t="inlineStr">
        <is>
          <t>IM-S1</t>
        </is>
      </c>
      <c r="B19" s="5" t="inlineStr">
        <is>
          <t>IM Image preparation (OpenCV)</t>
        </is>
      </c>
      <c r="C19" s="5" t="inlineStr">
        <is>
          <t>Check every picture first (blur, glare, dark, small, sideways)</t>
        </is>
      </c>
      <c r="D19" s="4" t="inlineStr">
        <is>
          <t>Must</t>
        </is>
      </c>
      <c r="E19" s="4" t="n">
        <v>1</v>
      </c>
      <c r="F19" s="4" t="n">
        <v>3</v>
      </c>
      <c r="G19" s="4" t="n">
        <v>5</v>
      </c>
      <c r="H19" s="4" t="inlineStr">
        <is>
          <t>Built</t>
        </is>
      </c>
      <c r="I19" s="7" t="inlineStr">
        <is>
          <t>Yes - open items</t>
        </is>
      </c>
      <c r="J19" s="4" t="inlineStr">
        <is>
          <t>3 of 4</t>
        </is>
      </c>
      <c r="K19" s="5" t="inlineStr">
        <is>
          <t>AC3: the false-reject rate needs an answer-key set of real photographs.</t>
        </is>
      </c>
      <c r="L19" s="5" t="inlineStr">
        <is>
          <t>tests/test_im_s1_acceptance_unit.py; docs/test-IM-S1.md</t>
        </is>
      </c>
    </row>
    <row r="20">
      <c r="A20" s="4" t="inlineStr">
        <is>
          <t>IM-S2</t>
        </is>
      </c>
      <c r="B20" s="5" t="inlineStr">
        <is>
          <t>IM Image preparation (OpenCV)</t>
        </is>
      </c>
      <c r="C20" s="5" t="inlineStr">
        <is>
          <t>Straighten and crop the page safely, keeping the original untouched</t>
        </is>
      </c>
      <c r="D20" s="4" t="inlineStr">
        <is>
          <t>Should</t>
        </is>
      </c>
      <c r="E20" s="4" t="n">
        <v>1</v>
      </c>
      <c r="F20" s="4" t="n">
        <v>4</v>
      </c>
      <c r="G20" s="4" t="n">
        <v>5</v>
      </c>
      <c r="H20" s="4" t="inlineStr">
        <is>
          <t>Partial</t>
        </is>
      </c>
      <c r="I20" s="7" t="inlineStr">
        <is>
          <t>Yes - open items</t>
        </is>
      </c>
      <c r="J20" s="4" t="inlineStr">
        <is>
          <t>5 of 5 with the switch on</t>
        </is>
      </c>
      <c r="K20" s="5" t="inlineStr">
        <is>
          <t>Off by default (CDI_STRAIGHTEN). On 21 real photos it turned an upright page upside down and missed sideways ones: needs rework before it is switched on.</t>
        </is>
      </c>
      <c r="L20" s="5" t="inlineStr">
        <is>
          <t>tests/test_im_s2_acceptance_unit.py (44 passed); docs/test-IM-S2.md</t>
        </is>
      </c>
    </row>
    <row r="21">
      <c r="A21" s="4" t="inlineStr">
        <is>
          <t>IM-S3</t>
        </is>
      </c>
      <c r="B21" s="5" t="inlineStr">
        <is>
          <t>IM Image preparation (OpenCV)</t>
        </is>
      </c>
      <c r="C21" s="5" t="inlineStr">
        <is>
          <t>Find the text lines and say which are printed and which are handwritten</t>
        </is>
      </c>
      <c r="D21" s="4" t="inlineStr">
        <is>
          <t>Must</t>
        </is>
      </c>
      <c r="E21" s="4" t="n">
        <v>1</v>
      </c>
      <c r="F21" s="4" t="n">
        <v>3</v>
      </c>
      <c r="G21" s="4" t="n">
        <v>5</v>
      </c>
      <c r="H21" s="4" t="inlineStr">
        <is>
          <t>Built</t>
        </is>
      </c>
      <c r="I21" s="7" t="inlineStr">
        <is>
          <t>Yes - open items</t>
        </is>
      </c>
      <c r="J21" s="4" t="inlineStr">
        <is>
          <t>3 of 4</t>
        </is>
      </c>
      <c r="K21" s="5" t="inlineStr">
        <is>
          <t>AC3: line recall and label accuracy need real pages with hand-drawn lines. Line-by-line reading is off by default.</t>
        </is>
      </c>
      <c r="L21" s="5" t="inlineStr">
        <is>
          <t>tests/test_im_s3_acceptance_unit.py; docs/test-IM-S3.md</t>
        </is>
      </c>
    </row>
    <row r="22">
      <c r="A22" s="4" t="inlineStr">
        <is>
          <t>RD-S1</t>
        </is>
      </c>
      <c r="B22" s="5" t="inlineStr">
        <is>
          <t>RD Reading engines working together</t>
        </is>
      </c>
      <c r="C22" s="5" t="inlineStr">
        <is>
          <t>Read printed text with RapidOCR</t>
        </is>
      </c>
      <c r="D22" s="4" t="inlineStr">
        <is>
          <t>Must</t>
        </is>
      </c>
      <c r="E22" s="4" t="n">
        <v>1</v>
      </c>
      <c r="F22" s="4" t="n">
        <v>1</v>
      </c>
      <c r="G22" s="4" t="n">
        <v>2</v>
      </c>
      <c r="H22" s="4" t="inlineStr">
        <is>
          <t>Built</t>
        </is>
      </c>
      <c r="I22" s="6" t="inlineStr">
        <is>
          <t>Yes</t>
        </is>
      </c>
      <c r="J22" s="4" t="inlineStr">
        <is>
          <t>2 of 2</t>
        </is>
      </c>
      <c r="K22" s="5" t="inlineStr">
        <is>
          <t>Printed lines are kept from the handwriting reader only with line-by-line reading on (off by default).</t>
        </is>
      </c>
      <c r="L22" s="5" t="inlineStr">
        <is>
          <t>tests/test_rd_s1_acceptance_unit.py (21 passed); docs/test-RD-S1.md</t>
        </is>
      </c>
    </row>
    <row r="23">
      <c r="A23" s="4" t="inlineStr">
        <is>
          <t>RD-S2</t>
        </is>
      </c>
      <c r="B23" s="5" t="inlineStr">
        <is>
          <t>RD Reading engines working together</t>
        </is>
      </c>
      <c r="C23" s="5" t="inlineStr">
        <is>
          <t>Handwriting: TrOCR and Qwen each read every line on their own</t>
        </is>
      </c>
      <c r="D23" s="4" t="inlineStr">
        <is>
          <t>Must</t>
        </is>
      </c>
      <c r="E23" s="4" t="n">
        <v>1</v>
      </c>
      <c r="F23" s="4" t="n">
        <v>4</v>
      </c>
      <c r="G23" s="4" t="n">
        <v>5</v>
      </c>
      <c r="H23" s="4" t="inlineStr">
        <is>
          <t>Built</t>
        </is>
      </c>
      <c r="I23" s="7" t="inlineStr">
        <is>
          <t>Yes - open items</t>
        </is>
      </c>
      <c r="J23" s="4" t="inlineStr">
        <is>
          <t>3 of 4</t>
        </is>
      </c>
      <c r="K23" s="5" t="inlineStr">
        <is>
          <t>AC4: the benchmark has run on synthetic lines only; 500-1,000 real handwritten lines must be typed first (kit built). TrOCR licence is a review item.</t>
        </is>
      </c>
      <c r="L23" s="5" t="inlineStr">
        <is>
          <t>tests/test_rd_s2_acceptance_unit.py; docs/test-RD-S2.md</t>
        </is>
      </c>
    </row>
    <row r="24">
      <c r="A24" s="4" t="inlineStr">
        <is>
          <t>RD-S3</t>
        </is>
      </c>
      <c r="B24" s="5" t="inlineStr">
        <is>
          <t>RD Reading engines working together</t>
        </is>
      </c>
      <c r="C24" s="5" t="inlineStr">
        <is>
          <t>If the readers disagree, or the picture does not support the answer, send it to a person</t>
        </is>
      </c>
      <c r="D24" s="4" t="inlineStr">
        <is>
          <t>Must</t>
        </is>
      </c>
      <c r="E24" s="4" t="n">
        <v>1</v>
      </c>
      <c r="F24" s="4" t="n">
        <v>3</v>
      </c>
      <c r="G24" s="4" t="n">
        <v>5</v>
      </c>
      <c r="H24" s="4" t="inlineStr">
        <is>
          <t>Built</t>
        </is>
      </c>
      <c r="I24" s="6" t="inlineStr">
        <is>
          <t>Yes</t>
        </is>
      </c>
      <c r="J24" s="4" t="inlineStr">
        <is>
          <t>5 of 5</t>
        </is>
      </c>
      <c r="K24" s="5" t="inlineStr">
        <is>
          <t>Unit level only: not run end to end with the real models. Thresholds are assumptions, not measured.</t>
        </is>
      </c>
      <c r="L24" s="5" t="inlineStr">
        <is>
          <t>tests/test_rd_s3_acceptance_unit.py (37 passed)</t>
        </is>
      </c>
    </row>
    <row r="25">
      <c r="A25" s="4" t="inlineStr">
        <is>
          <t>RD-S4</t>
        </is>
      </c>
      <c r="B25" s="5" t="inlineStr">
        <is>
          <t>RD Reading engines working together</t>
        </is>
      </c>
      <c r="C25" s="5" t="inlineStr">
        <is>
          <t>Qwen fills the structured form from the page, in valid JSON</t>
        </is>
      </c>
      <c r="D25" s="4" t="inlineStr">
        <is>
          <t>Must</t>
        </is>
      </c>
      <c r="E25" s="4" t="n">
        <v>1</v>
      </c>
      <c r="F25" s="4" t="n">
        <v>4</v>
      </c>
      <c r="G25" s="4" t="n">
        <v>5</v>
      </c>
      <c r="H25" s="4" t="inlineStr">
        <is>
          <t>Built</t>
        </is>
      </c>
      <c r="I25" s="6" t="inlineStr">
        <is>
          <t>Yes</t>
        </is>
      </c>
      <c r="J25" s="4" t="inlineStr">
        <is>
          <t>7 of 7</t>
        </is>
      </c>
      <c r="K25" s="5" t="inlineStr">
        <is>
          <t>Unit level only (stub model). Not built: pictures of pages 2+, automatic re-queue of an upload after out-of-memory, picture-size sweep, adversarial pictures.</t>
        </is>
      </c>
      <c r="L25" s="5" t="inlineStr">
        <is>
          <t>tests/test_rd_s4_acceptance_unit.py (41 passed)</t>
        </is>
      </c>
    </row>
    <row r="26">
      <c r="A26" s="4" t="inlineStr">
        <is>
          <t>RD-S5</t>
        </is>
      </c>
      <c r="B26" s="5" t="inlineStr">
        <is>
          <t>RD Reading engines working together</t>
        </is>
      </c>
      <c r="C26" s="5" t="inlineStr">
        <is>
          <t>Ten prescriptions at once, each finished within 1 minute, on one GPU</t>
        </is>
      </c>
      <c r="D26" s="4" t="inlineStr">
        <is>
          <t>Must</t>
        </is>
      </c>
      <c r="E26" s="4" t="n">
        <v>1</v>
      </c>
      <c r="F26" s="4" t="n">
        <v>6</v>
      </c>
      <c r="G26" s="4" t="n">
        <v>8</v>
      </c>
      <c r="H26" s="4" t="inlineStr">
        <is>
          <t>Not built</t>
        </is>
      </c>
      <c r="I26" s="6" t="inlineStr">
        <is>
          <t>Yes</t>
        </is>
      </c>
      <c r="J26" s="4" t="inlineStr">
        <is>
          <t>5 of 5</t>
        </is>
      </c>
      <c r="K26" s="5" t="inlineStr">
        <is>
          <t>Measured on fake printed prescriptions on one 32 GB GPU. The batching server's install needed a manual step on that host.</t>
        </is>
      </c>
      <c r="L26" s="5" t="inlineStr">
        <is>
          <t>tests/test_rd_s5_acceptance_unit.py (16 passed); docs/evidence/RD-S5/</t>
        </is>
      </c>
    </row>
    <row r="27">
      <c r="A27" s="4" t="inlineStr">
        <is>
          <t>SW-S1</t>
        </is>
      </c>
      <c r="B27" s="5" t="inlineStr">
        <is>
          <t>SW Change any model or component</t>
        </is>
      </c>
      <c r="C27" s="5" t="inlineStr">
        <is>
          <t>Put every engine and component behind a small written interface</t>
        </is>
      </c>
      <c r="D27" s="4" t="inlineStr">
        <is>
          <t>Must</t>
        </is>
      </c>
      <c r="E27" s="4" t="n">
        <v>1</v>
      </c>
      <c r="F27" s="4" t="n">
        <v>5</v>
      </c>
      <c r="G27" s="4" t="n">
        <v>8</v>
      </c>
      <c r="H27" s="4" t="inlineStr">
        <is>
          <t>Partial</t>
        </is>
      </c>
      <c r="I27" s="8" t="inlineStr">
        <is>
          <t>No</t>
        </is>
      </c>
      <c r="J27" s="4" t="inlineStr">
        <is>
          <t>-</t>
        </is>
      </c>
      <c r="K27" s="5" t="inlineStr">
        <is>
          <t>Not taken up yet.</t>
        </is>
      </c>
      <c r="L27" s="5" t="inlineStr">
        <is>
          <t>-</t>
        </is>
      </c>
    </row>
    <row r="28">
      <c r="A28" s="4" t="inlineStr">
        <is>
          <t>SW-S2</t>
        </is>
      </c>
      <c r="B28" s="5" t="inlineStr">
        <is>
          <t>SW Change any model or component</t>
        </is>
      </c>
      <c r="C28" s="5" t="inlineStr">
        <is>
          <t>Model registry: every model recorded, pinned and chosen by settings</t>
        </is>
      </c>
      <c r="D28" s="4" t="inlineStr">
        <is>
          <t>Must</t>
        </is>
      </c>
      <c r="E28" s="4" t="n">
        <v>1</v>
      </c>
      <c r="F28" s="4" t="n">
        <v>3</v>
      </c>
      <c r="G28" s="4" t="n">
        <v>5</v>
      </c>
      <c r="H28" s="4" t="inlineStr">
        <is>
          <t>Not built</t>
        </is>
      </c>
      <c r="I28" s="8" t="inlineStr">
        <is>
          <t>No</t>
        </is>
      </c>
      <c r="J28" s="4" t="inlineStr">
        <is>
          <t>-</t>
        </is>
      </c>
      <c r="K28" s="5" t="inlineStr">
        <is>
          <t>Not taken up yet.</t>
        </is>
      </c>
      <c r="L28" s="5" t="inlineStr">
        <is>
          <t>-</t>
        </is>
      </c>
    </row>
    <row r="29">
      <c r="A29" s="4" t="inlineStr">
        <is>
          <t>SW-S3</t>
        </is>
      </c>
      <c r="B29" s="5" t="inlineStr">
        <is>
          <t>SW Change any model or component</t>
        </is>
      </c>
      <c r="C29" s="5" t="inlineStr">
        <is>
          <t>Fine-tune any replacement model with the same data and one command</t>
        </is>
      </c>
      <c r="D29" s="4" t="inlineStr">
        <is>
          <t>Must</t>
        </is>
      </c>
      <c r="E29" s="4" t="n">
        <v>1</v>
      </c>
      <c r="F29" s="4" t="n">
        <v>5</v>
      </c>
      <c r="G29" s="4" t="n">
        <v>8</v>
      </c>
      <c r="H29" s="4" t="inlineStr">
        <is>
          <t>Not built</t>
        </is>
      </c>
      <c r="I29" s="8" t="inlineStr">
        <is>
          <t>No</t>
        </is>
      </c>
      <c r="J29" s="4" t="inlineStr">
        <is>
          <t>-</t>
        </is>
      </c>
      <c r="K29" s="5" t="inlineStr">
        <is>
          <t>Not taken up yet.</t>
        </is>
      </c>
      <c r="L29" s="5" t="inlineStr">
        <is>
          <t>-</t>
        </is>
      </c>
    </row>
    <row r="30">
      <c r="A30" s="4" t="inlineStr">
        <is>
          <t>SW-S4</t>
        </is>
      </c>
      <c r="B30" s="5" t="inlineStr">
        <is>
          <t>SW Change any model or component</t>
        </is>
      </c>
      <c r="C30" s="5" t="inlineStr">
        <is>
          <t>A fair contest: a new model against the current champion</t>
        </is>
      </c>
      <c r="D30" s="4" t="inlineStr">
        <is>
          <t>Must</t>
        </is>
      </c>
      <c r="E30" s="4" t="n">
        <v>1</v>
      </c>
      <c r="F30" s="4" t="n">
        <v>5</v>
      </c>
      <c r="G30" s="4" t="n">
        <v>8</v>
      </c>
      <c r="H30" s="4" t="inlineStr">
        <is>
          <t>Not built</t>
        </is>
      </c>
      <c r="I30" s="8" t="inlineStr">
        <is>
          <t>No</t>
        </is>
      </c>
      <c r="J30" s="4" t="inlineStr">
        <is>
          <t>-</t>
        </is>
      </c>
      <c r="K30" s="5" t="inlineStr">
        <is>
          <t>Not taken up yet.</t>
        </is>
      </c>
      <c r="L30" s="5" t="inlineStr">
        <is>
          <t>-</t>
        </is>
      </c>
    </row>
    <row r="31">
      <c r="A31" s="4" t="inlineStr">
        <is>
          <t>SW-S5</t>
        </is>
      </c>
      <c r="B31" s="5" t="inlineStr">
        <is>
          <t>SW Change any model or component</t>
        </is>
      </c>
      <c r="C31" s="5" t="inlineStr">
        <is>
          <t>Deploy the winner safely: shadow run, one-setting switch, one-step rollback</t>
        </is>
      </c>
      <c r="D31" s="4" t="inlineStr">
        <is>
          <t>Must</t>
        </is>
      </c>
      <c r="E31" s="4" t="n">
        <v>1</v>
      </c>
      <c r="F31" s="4" t="n">
        <v>5</v>
      </c>
      <c r="G31" s="4" t="n">
        <v>8</v>
      </c>
      <c r="H31" s="4" t="inlineStr">
        <is>
          <t>Partial</t>
        </is>
      </c>
      <c r="I31" s="8" t="inlineStr">
        <is>
          <t>No</t>
        </is>
      </c>
      <c r="J31" s="4" t="inlineStr">
        <is>
          <t>-</t>
        </is>
      </c>
      <c r="K31" s="5" t="inlineStr">
        <is>
          <t>Not taken up yet.</t>
        </is>
      </c>
      <c r="L31" s="5" t="inlineStr">
        <is>
          <t>-</t>
        </is>
      </c>
    </row>
    <row r="32">
      <c r="A32" s="4" t="inlineStr">
        <is>
          <t>SW-S6</t>
        </is>
      </c>
      <c r="B32" s="5" t="inlineStr">
        <is>
          <t>SW Change any model or component</t>
        </is>
      </c>
      <c r="C32" s="5" t="inlineStr">
        <is>
          <t>Replace any non-model component: PDF renderer, object store, queue, terminology, drive, sign-in</t>
        </is>
      </c>
      <c r="D32" s="4" t="inlineStr">
        <is>
          <t>Should</t>
        </is>
      </c>
      <c r="E32" s="4" t="n">
        <v>1</v>
      </c>
      <c r="F32" s="4" t="n">
        <v>5</v>
      </c>
      <c r="G32" s="4" t="n">
        <v>8</v>
      </c>
      <c r="H32" s="4" t="inlineStr">
        <is>
          <t>Not built</t>
        </is>
      </c>
      <c r="I32" s="8" t="inlineStr">
        <is>
          <t>No</t>
        </is>
      </c>
      <c r="J32" s="4" t="inlineStr">
        <is>
          <t>-</t>
        </is>
      </c>
      <c r="K32" s="5" t="inlineStr">
        <is>
          <t>Not taken up yet.</t>
        </is>
      </c>
      <c r="L32" s="5" t="inlineStr">
        <is>
          <t>-</t>
        </is>
      </c>
    </row>
    <row r="33">
      <c r="A33" s="4" t="inlineStr">
        <is>
          <t>SW-S7</t>
        </is>
      </c>
      <c r="B33" s="5" t="inlineStr">
        <is>
          <t>SW Change any model or component</t>
        </is>
      </c>
      <c r="C33" s="5" t="inlineStr">
        <is>
          <t>A licence and safety gate in front of every swap</t>
        </is>
      </c>
      <c r="D33" s="4" t="inlineStr">
        <is>
          <t>Must</t>
        </is>
      </c>
      <c r="E33" s="4" t="n">
        <v>1</v>
      </c>
      <c r="F33" s="4" t="n">
        <v>3</v>
      </c>
      <c r="G33" s="4" t="n">
        <v>5</v>
      </c>
      <c r="H33" s="4" t="inlineStr">
        <is>
          <t>Not built</t>
        </is>
      </c>
      <c r="I33" s="8" t="inlineStr">
        <is>
          <t>No</t>
        </is>
      </c>
      <c r="J33" s="4" t="inlineStr">
        <is>
          <t>-</t>
        </is>
      </c>
      <c r="K33" s="5" t="inlineStr">
        <is>
          <t>Not taken up yet.</t>
        </is>
      </c>
      <c r="L33" s="5" t="inlineStr">
        <is>
          <t>-</t>
        </is>
      </c>
    </row>
    <row r="34">
      <c r="A34" s="4" t="inlineStr">
        <is>
          <t>EX-S1</t>
        </is>
      </c>
      <c r="B34" s="5" t="inlineStr">
        <is>
          <t>EX The four things we extract</t>
        </is>
      </c>
      <c r="C34" s="5" t="inlineStr">
        <is>
          <t>Read the patient details</t>
        </is>
      </c>
      <c r="D34" s="4" t="inlineStr">
        <is>
          <t>Must</t>
        </is>
      </c>
      <c r="E34" s="4" t="n">
        <v>1</v>
      </c>
      <c r="F34" s="4" t="n">
        <v>3</v>
      </c>
      <c r="G34" s="4" t="n">
        <v>5</v>
      </c>
      <c r="H34" s="4" t="inlineStr">
        <is>
          <t>Partial</t>
        </is>
      </c>
      <c r="I34" s="8" t="inlineStr">
        <is>
          <t>No</t>
        </is>
      </c>
      <c r="J34" s="4" t="inlineStr">
        <is>
          <t>-</t>
        </is>
      </c>
      <c r="K34" s="5" t="inlineStr">
        <is>
          <t>Not taken up yet.</t>
        </is>
      </c>
      <c r="L34" s="5" t="inlineStr">
        <is>
          <t>-</t>
        </is>
      </c>
    </row>
    <row r="35">
      <c r="A35" s="4" t="inlineStr">
        <is>
          <t>EX-S2</t>
        </is>
      </c>
      <c r="B35" s="5" t="inlineStr">
        <is>
          <t>EX The four things we extract</t>
        </is>
      </c>
      <c r="C35" s="5" t="inlineStr">
        <is>
          <t>Read the doctor details</t>
        </is>
      </c>
      <c r="D35" s="4" t="inlineStr">
        <is>
          <t>Must</t>
        </is>
      </c>
      <c r="E35" s="4" t="n">
        <v>1</v>
      </c>
      <c r="F35" s="4" t="n">
        <v>3</v>
      </c>
      <c r="G35" s="4" t="n">
        <v>5</v>
      </c>
      <c r="H35" s="4" t="inlineStr">
        <is>
          <t>Partial</t>
        </is>
      </c>
      <c r="I35" s="8" t="inlineStr">
        <is>
          <t>No</t>
        </is>
      </c>
      <c r="J35" s="4" t="inlineStr">
        <is>
          <t>-</t>
        </is>
      </c>
      <c r="K35" s="5" t="inlineStr">
        <is>
          <t>Not taken up yet.</t>
        </is>
      </c>
      <c r="L35" s="5" t="inlineStr">
        <is>
          <t>-</t>
        </is>
      </c>
    </row>
    <row r="36">
      <c r="A36" s="4" t="inlineStr">
        <is>
          <t>EX-S3</t>
        </is>
      </c>
      <c r="B36" s="5" t="inlineStr">
        <is>
          <t>EX The four things we extract</t>
        </is>
      </c>
      <c r="C36" s="5" t="inlineStr">
        <is>
          <t>Read the lab tests that were ordered and give each a standard name</t>
        </is>
      </c>
      <c r="D36" s="4" t="inlineStr">
        <is>
          <t>Must</t>
        </is>
      </c>
      <c r="E36" s="4" t="n">
        <v>1</v>
      </c>
      <c r="F36" s="4" t="n">
        <v>4</v>
      </c>
      <c r="G36" s="4" t="n">
        <v>5</v>
      </c>
      <c r="H36" s="4" t="inlineStr">
        <is>
          <t>Partial</t>
        </is>
      </c>
      <c r="I36" s="8" t="inlineStr">
        <is>
          <t>No</t>
        </is>
      </c>
      <c r="J36" s="4" t="inlineStr">
        <is>
          <t>-</t>
        </is>
      </c>
      <c r="K36" s="5" t="inlineStr">
        <is>
          <t>Not taken up yet.</t>
        </is>
      </c>
      <c r="L36" s="5" t="inlineStr">
        <is>
          <t>-</t>
        </is>
      </c>
    </row>
    <row r="37">
      <c r="A37" s="4" t="inlineStr">
        <is>
          <t>EX-S4</t>
        </is>
      </c>
      <c r="B37" s="5" t="inlineStr">
        <is>
          <t>EX The four things we extract</t>
        </is>
      </c>
      <c r="C37" s="5" t="inlineStr">
        <is>
          <t>Read the lab preparation instructions</t>
        </is>
      </c>
      <c r="D37" s="4" t="inlineStr">
        <is>
          <t>Must</t>
        </is>
      </c>
      <c r="E37" s="4" t="n">
        <v>1</v>
      </c>
      <c r="F37" s="4" t="n">
        <v>6</v>
      </c>
      <c r="G37" s="4" t="n">
        <v>8</v>
      </c>
      <c r="H37" s="4" t="inlineStr">
        <is>
          <t>Not built</t>
        </is>
      </c>
      <c r="I37" s="8" t="inlineStr">
        <is>
          <t>No</t>
        </is>
      </c>
      <c r="J37" s="4" t="inlineStr">
        <is>
          <t>-</t>
        </is>
      </c>
      <c r="K37" s="5" t="inlineStr">
        <is>
          <t>Not taken up yet.</t>
        </is>
      </c>
      <c r="L37" s="5" t="inlineStr">
        <is>
          <t>-</t>
        </is>
      </c>
    </row>
    <row r="38">
      <c r="A38" s="4" t="inlineStr">
        <is>
          <t>EX-S5</t>
        </is>
      </c>
      <c r="B38" s="5" t="inlineStr">
        <is>
          <t>EX The four things we extract</t>
        </is>
      </c>
      <c r="C38" s="5" t="inlineStr">
        <is>
          <t>Say why each test was ordered (context)</t>
        </is>
      </c>
      <c r="D38" s="4" t="inlineStr">
        <is>
          <t>Should</t>
        </is>
      </c>
      <c r="E38" s="4" t="n">
        <v>2</v>
      </c>
      <c r="F38" s="4" t="n">
        <v>4</v>
      </c>
      <c r="G38" s="4" t="n">
        <v>5</v>
      </c>
      <c r="H38" s="4" t="inlineStr">
        <is>
          <t>Not built</t>
        </is>
      </c>
      <c r="I38" s="8" t="inlineStr">
        <is>
          <t>No</t>
        </is>
      </c>
      <c r="J38" s="4" t="inlineStr">
        <is>
          <t>-</t>
        </is>
      </c>
      <c r="K38" s="5" t="inlineStr">
        <is>
          <t>Not taken up yet.</t>
        </is>
      </c>
      <c r="L38" s="5" t="inlineStr">
        <is>
          <t>-</t>
        </is>
      </c>
    </row>
    <row r="39">
      <c r="A39" s="4" t="inlineStr">
        <is>
          <t>EX-S6</t>
        </is>
      </c>
      <c r="B39" s="5" t="inlineStr">
        <is>
          <t>EX The four things we extract</t>
        </is>
      </c>
      <c r="C39" s="5" t="inlineStr">
        <is>
          <t>Every value carries its proof and a status</t>
        </is>
      </c>
      <c r="D39" s="4" t="inlineStr">
        <is>
          <t>Must</t>
        </is>
      </c>
      <c r="E39" s="4" t="n">
        <v>1</v>
      </c>
      <c r="F39" s="4" t="n">
        <v>2</v>
      </c>
      <c r="G39" s="4" t="n">
        <v>3</v>
      </c>
      <c r="H39" s="4" t="inlineStr">
        <is>
          <t>Built</t>
        </is>
      </c>
      <c r="I39" s="8" t="inlineStr">
        <is>
          <t>No</t>
        </is>
      </c>
      <c r="J39" s="4" t="inlineStr">
        <is>
          <t>-</t>
        </is>
      </c>
      <c r="K39" s="5" t="inlineStr">
        <is>
          <t>Not taken up yet.</t>
        </is>
      </c>
      <c r="L39" s="5" t="inlineStr">
        <is>
          <t>-</t>
        </is>
      </c>
    </row>
    <row r="40">
      <c r="A40" s="4" t="inlineStr">
        <is>
          <t>OUT-S1</t>
        </is>
      </c>
      <c r="B40" s="5" t="inlineStr">
        <is>
          <t>OUT Save &amp; deliver (database + JSON)</t>
        </is>
      </c>
      <c r="C40" s="5" t="inlineStr">
        <is>
          <t>Save everything to the database</t>
        </is>
      </c>
      <c r="D40" s="4" t="inlineStr">
        <is>
          <t>Must</t>
        </is>
      </c>
      <c r="E40" s="4" t="n">
        <v>1</v>
      </c>
      <c r="F40" s="4" t="n">
        <v>3</v>
      </c>
      <c r="G40" s="4" t="n">
        <v>5</v>
      </c>
      <c r="H40" s="4" t="inlineStr">
        <is>
          <t>Partial</t>
        </is>
      </c>
      <c r="I40" s="8" t="inlineStr">
        <is>
          <t>No</t>
        </is>
      </c>
      <c r="J40" s="4" t="inlineStr">
        <is>
          <t>-</t>
        </is>
      </c>
      <c r="K40" s="5" t="inlineStr">
        <is>
          <t>Not taken up yet.</t>
        </is>
      </c>
      <c r="L40" s="5" t="inlineStr">
        <is>
          <t>-</t>
        </is>
      </c>
    </row>
    <row r="41">
      <c r="A41" s="4" t="inlineStr">
        <is>
          <t>OUT-S2</t>
        </is>
      </c>
      <c r="B41" s="5" t="inlineStr">
        <is>
          <t>OUT Save &amp; deliver (database + JSON)</t>
        </is>
      </c>
      <c r="C41" s="5" t="inlineStr">
        <is>
          <t>Also give every result as a JSON file with a fixed format</t>
        </is>
      </c>
      <c r="D41" s="4" t="inlineStr">
        <is>
          <t>Must</t>
        </is>
      </c>
      <c r="E41" s="4" t="n">
        <v>1</v>
      </c>
      <c r="F41" s="4" t="n">
        <v>3</v>
      </c>
      <c r="G41" s="4" t="n">
        <v>5</v>
      </c>
      <c r="H41" s="4" t="inlineStr">
        <is>
          <t>Not built</t>
        </is>
      </c>
      <c r="I41" s="9" t="inlineStr">
        <is>
          <t>Partly</t>
        </is>
      </c>
      <c r="J41" s="4" t="inlineStr">
        <is>
          <t>Not checked as a story</t>
        </is>
      </c>
      <c r="K41" s="5" t="inlineStr">
        <is>
          <t>The JSON file writer is built and tested (for LS-S8); this story's own acceptance criteria have not been run.</t>
        </is>
      </c>
      <c r="L41" s="5" t="inlineStr">
        <is>
          <t>tests/test_result_file_unit.py (16 passed)</t>
        </is>
      </c>
    </row>
    <row r="42">
      <c r="A42" s="4" t="inlineStr">
        <is>
          <t>OUT-S3</t>
        </is>
      </c>
      <c r="B42" s="5" t="inlineStr">
        <is>
          <t>OUT Save &amp; deliver (database + JSON)</t>
        </is>
      </c>
      <c r="C42" s="5" t="inlineStr">
        <is>
          <t>One upload gives one result, even if repeated or interrupted</t>
        </is>
      </c>
      <c r="D42" s="4" t="inlineStr">
        <is>
          <t>Should</t>
        </is>
      </c>
      <c r="E42" s="4" t="n">
        <v>2</v>
      </c>
      <c r="F42" s="4" t="n">
        <v>2</v>
      </c>
      <c r="G42" s="4" t="n">
        <v>3</v>
      </c>
      <c r="H42" s="4" t="inlineStr">
        <is>
          <t>Partial</t>
        </is>
      </c>
      <c r="I42" s="8" t="inlineStr">
        <is>
          <t>No</t>
        </is>
      </c>
      <c r="J42" s="4" t="inlineStr">
        <is>
          <t>-</t>
        </is>
      </c>
      <c r="K42" s="5" t="inlineStr">
        <is>
          <t>Not taken up yet.</t>
        </is>
      </c>
      <c r="L42" s="5" t="inlineStr">
        <is>
          <t>-</t>
        </is>
      </c>
    </row>
    <row r="43">
      <c r="A43" s="4" t="inlineStr">
        <is>
          <t>ENT-S1</t>
        </is>
      </c>
      <c r="B43" s="5" t="inlineStr">
        <is>
          <t>ENT Enterprise readiness</t>
        </is>
      </c>
      <c r="C43" s="5" t="inlineStr">
        <is>
          <t>Commercial licence audit of every software, model, data set and code list</t>
        </is>
      </c>
      <c r="D43" s="4" t="inlineStr">
        <is>
          <t>Must</t>
        </is>
      </c>
      <c r="E43" s="4" t="n">
        <v>1</v>
      </c>
      <c r="F43" s="4" t="n">
        <v>3</v>
      </c>
      <c r="G43" s="4" t="n">
        <v>5</v>
      </c>
      <c r="H43" s="4" t="inlineStr">
        <is>
          <t>Not built</t>
        </is>
      </c>
      <c r="I43" s="8" t="inlineStr">
        <is>
          <t>No</t>
        </is>
      </c>
      <c r="J43" s="4" t="inlineStr">
        <is>
          <t>-</t>
        </is>
      </c>
      <c r="K43" s="5" t="inlineStr">
        <is>
          <t>Not taken up yet.</t>
        </is>
      </c>
      <c r="L43" s="5" t="inlineStr">
        <is>
          <t>-</t>
        </is>
      </c>
    </row>
    <row r="44">
      <c r="A44" s="4" t="inlineStr">
        <is>
          <t>ENT-S2</t>
        </is>
      </c>
      <c r="B44" s="5" t="inlineStr">
        <is>
          <t>ENT Enterprise readiness</t>
        </is>
      </c>
      <c r="C44" s="5" t="inlineStr">
        <is>
          <t>Sign-in, roles and an audit trail</t>
        </is>
      </c>
      <c r="D44" s="4" t="inlineStr">
        <is>
          <t>Must</t>
        </is>
      </c>
      <c r="E44" s="4" t="n">
        <v>1</v>
      </c>
      <c r="F44" s="4" t="n">
        <v>6</v>
      </c>
      <c r="G44" s="4" t="n">
        <v>8</v>
      </c>
      <c r="H44" s="4" t="inlineStr">
        <is>
          <t>Not built</t>
        </is>
      </c>
      <c r="I44" s="8" t="inlineStr">
        <is>
          <t>No</t>
        </is>
      </c>
      <c r="J44" s="4" t="inlineStr">
        <is>
          <t>-</t>
        </is>
      </c>
      <c r="K44" s="5" t="inlineStr">
        <is>
          <t>Not taken up yet.</t>
        </is>
      </c>
      <c r="L44" s="5" t="inlineStr">
        <is>
          <t>-</t>
        </is>
      </c>
    </row>
    <row r="45">
      <c r="A45" s="4" t="inlineStr">
        <is>
          <t>ENT-S3</t>
        </is>
      </c>
      <c r="B45" s="5" t="inlineStr">
        <is>
          <t>ENT Enterprise readiness</t>
        </is>
      </c>
      <c r="C45" s="5" t="inlineStr">
        <is>
          <t>Prove the accuracy: an answer-key set and an automatic quality gate</t>
        </is>
      </c>
      <c r="D45" s="4" t="inlineStr">
        <is>
          <t>Must</t>
        </is>
      </c>
      <c r="E45" s="4" t="n">
        <v>1</v>
      </c>
      <c r="F45" s="4" t="n">
        <v>7</v>
      </c>
      <c r="G45" s="4" t="n">
        <v>8</v>
      </c>
      <c r="H45" s="4" t="inlineStr">
        <is>
          <t>Not built</t>
        </is>
      </c>
      <c r="I45" s="8" t="inlineStr">
        <is>
          <t>No</t>
        </is>
      </c>
      <c r="J45" s="4" t="inlineStr">
        <is>
          <t>-</t>
        </is>
      </c>
      <c r="K45" s="5" t="inlineStr">
        <is>
          <t>Not taken up yet.</t>
        </is>
      </c>
      <c r="L45" s="5" t="inlineStr">
        <is>
          <t>-</t>
        </is>
      </c>
    </row>
    <row r="46">
      <c r="A46" s="4" t="inlineStr">
        <is>
          <t>ENT-S4</t>
        </is>
      </c>
      <c r="B46" s="5" t="inlineStr">
        <is>
          <t>ENT Enterprise readiness</t>
        </is>
      </c>
      <c r="C46" s="5" t="inlineStr">
        <is>
          <t>Run it reliably: health, metrics, alerts, backups and a restart runbook</t>
        </is>
      </c>
      <c r="D46" s="4" t="inlineStr">
        <is>
          <t>Should</t>
        </is>
      </c>
      <c r="E46" s="4" t="n">
        <v>2</v>
      </c>
      <c r="F46" s="4" t="n">
        <v>4</v>
      </c>
      <c r="G46" s="4" t="n">
        <v>5</v>
      </c>
      <c r="H46" s="4" t="inlineStr">
        <is>
          <t>Partial</t>
        </is>
      </c>
      <c r="I46" s="8" t="inlineStr">
        <is>
          <t>No</t>
        </is>
      </c>
      <c r="J46" s="4" t="inlineStr">
        <is>
          <t>-</t>
        </is>
      </c>
      <c r="K46" s="5" t="inlineStr">
        <is>
          <t>Not taken up yet.</t>
        </is>
      </c>
      <c r="L46" s="5" t="inlineStr">
        <is>
          <t>-</t>
        </is>
      </c>
    </row>
  </sheetData>
  <autoFilter ref="A5:L46"/>
  <mergeCells count="2">
    <mergeCell ref="A3:L3"/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18" customWidth="1" min="4" max="4"/>
    <col width="10" customWidth="1" min="5" max="5"/>
    <col width="8" customWidth="1" min="6" max="6"/>
    <col width="20" customWidth="1" min="7" max="7"/>
    <col width="12" customWidth="1" min="8" max="8"/>
  </cols>
  <sheetData>
    <row r="1">
      <c r="A1" s="1" t="inlineStr">
        <is>
          <t>Summary - counted from the 'Backlog status' sheet</t>
        </is>
      </c>
    </row>
    <row r="3" ht="32" customHeight="1">
      <c r="A3" s="3" t="inlineStr">
        <is>
          <t>Epic</t>
        </is>
      </c>
      <c r="B3" s="3" t="inlineStr">
        <is>
          <t>Stories</t>
        </is>
      </c>
      <c r="C3" s="3" t="inlineStr">
        <is>
          <t>Yes</t>
        </is>
      </c>
      <c r="D3" s="3" t="inlineStr">
        <is>
          <t>Yes - open items</t>
        </is>
      </c>
      <c r="E3" s="3" t="inlineStr">
        <is>
          <t>Partly</t>
        </is>
      </c>
      <c r="F3" s="3" t="inlineStr">
        <is>
          <t>No</t>
        </is>
      </c>
      <c r="G3" s="3" t="inlineStr">
        <is>
          <t>Built (Yes + Yes - open items)</t>
        </is>
      </c>
      <c r="H3" s="3" t="inlineStr">
        <is>
          <t>Share built</t>
        </is>
      </c>
    </row>
    <row r="4">
      <c r="A4" s="10" t="inlineStr">
        <is>
          <t>UP Scan &amp; upload screen</t>
        </is>
      </c>
      <c r="B4" s="11">
        <f>COUNTIF('Backlog status'!$B$6:$B$46,A4)</f>
        <v/>
      </c>
      <c r="C4" s="11">
        <f>COUNTIFS('Backlog status'!$B$6:$B$46,$A4,'Backlog status'!$I$6:$I$46,"Yes")</f>
        <v/>
      </c>
      <c r="D4" s="11">
        <f>COUNTIFS('Backlog status'!$B$6:$B$46,$A4,'Backlog status'!$I$6:$I$46,"Yes - open items")</f>
        <v/>
      </c>
      <c r="E4" s="11">
        <f>COUNTIFS('Backlog status'!$B$6:$B$46,$A4,'Backlog status'!$I$6:$I$46,"Partly")</f>
        <v/>
      </c>
      <c r="F4" s="11">
        <f>COUNTIFS('Backlog status'!$B$6:$B$46,$A4,'Backlog status'!$I$6:$I$46,"No")</f>
        <v/>
      </c>
      <c r="G4" s="11">
        <f>C4+D4</f>
        <v/>
      </c>
      <c r="H4" s="12">
        <f>IF(B4=0,0,G4/B4)</f>
        <v/>
      </c>
    </row>
    <row r="5">
      <c r="A5" s="10" t="inlineStr">
        <is>
          <t>LS File listener (watched folder)</t>
        </is>
      </c>
      <c r="B5" s="11">
        <f>COUNTIF('Backlog status'!$B$6:$B$46,A5)</f>
        <v/>
      </c>
      <c r="C5" s="11">
        <f>COUNTIFS('Backlog status'!$B$6:$B$46,$A5,'Backlog status'!$I$6:$I$46,"Yes")</f>
        <v/>
      </c>
      <c r="D5" s="11">
        <f>COUNTIFS('Backlog status'!$B$6:$B$46,$A5,'Backlog status'!$I$6:$I$46,"Yes - open items")</f>
        <v/>
      </c>
      <c r="E5" s="11">
        <f>COUNTIFS('Backlog status'!$B$6:$B$46,$A5,'Backlog status'!$I$6:$I$46,"Partly")</f>
        <v/>
      </c>
      <c r="F5" s="11">
        <f>COUNTIFS('Backlog status'!$B$6:$B$46,$A5,'Backlog status'!$I$6:$I$46,"No")</f>
        <v/>
      </c>
      <c r="G5" s="11">
        <f>C5+D5</f>
        <v/>
      </c>
      <c r="H5" s="12">
        <f>IF(B5=0,0,G5/B5)</f>
        <v/>
      </c>
    </row>
    <row r="6">
      <c r="A6" s="10" t="inlineStr">
        <is>
          <t>IM Image preparation (OpenCV)</t>
        </is>
      </c>
      <c r="B6" s="11">
        <f>COUNTIF('Backlog status'!$B$6:$B$46,A6)</f>
        <v/>
      </c>
      <c r="C6" s="11">
        <f>COUNTIFS('Backlog status'!$B$6:$B$46,$A6,'Backlog status'!$I$6:$I$46,"Yes")</f>
        <v/>
      </c>
      <c r="D6" s="11">
        <f>COUNTIFS('Backlog status'!$B$6:$B$46,$A6,'Backlog status'!$I$6:$I$46,"Yes - open items")</f>
        <v/>
      </c>
      <c r="E6" s="11">
        <f>COUNTIFS('Backlog status'!$B$6:$B$46,$A6,'Backlog status'!$I$6:$I$46,"Partly")</f>
        <v/>
      </c>
      <c r="F6" s="11">
        <f>COUNTIFS('Backlog status'!$B$6:$B$46,$A6,'Backlog status'!$I$6:$I$46,"No")</f>
        <v/>
      </c>
      <c r="G6" s="11">
        <f>C6+D6</f>
        <v/>
      </c>
      <c r="H6" s="12">
        <f>IF(B6=0,0,G6/B6)</f>
        <v/>
      </c>
    </row>
    <row r="7">
      <c r="A7" s="10" t="inlineStr">
        <is>
          <t>RD Reading engines working together</t>
        </is>
      </c>
      <c r="B7" s="11">
        <f>COUNTIF('Backlog status'!$B$6:$B$46,A7)</f>
        <v/>
      </c>
      <c r="C7" s="11">
        <f>COUNTIFS('Backlog status'!$B$6:$B$46,$A7,'Backlog status'!$I$6:$I$46,"Yes")</f>
        <v/>
      </c>
      <c r="D7" s="11">
        <f>COUNTIFS('Backlog status'!$B$6:$B$46,$A7,'Backlog status'!$I$6:$I$46,"Yes - open items")</f>
        <v/>
      </c>
      <c r="E7" s="11">
        <f>COUNTIFS('Backlog status'!$B$6:$B$46,$A7,'Backlog status'!$I$6:$I$46,"Partly")</f>
        <v/>
      </c>
      <c r="F7" s="11">
        <f>COUNTIFS('Backlog status'!$B$6:$B$46,$A7,'Backlog status'!$I$6:$I$46,"No")</f>
        <v/>
      </c>
      <c r="G7" s="11">
        <f>C7+D7</f>
        <v/>
      </c>
      <c r="H7" s="12">
        <f>IF(B7=0,0,G7/B7)</f>
        <v/>
      </c>
    </row>
    <row r="8">
      <c r="A8" s="10" t="inlineStr">
        <is>
          <t>SW Change any model or component</t>
        </is>
      </c>
      <c r="B8" s="11">
        <f>COUNTIF('Backlog status'!$B$6:$B$46,A8)</f>
        <v/>
      </c>
      <c r="C8" s="11">
        <f>COUNTIFS('Backlog status'!$B$6:$B$46,$A8,'Backlog status'!$I$6:$I$46,"Yes")</f>
        <v/>
      </c>
      <c r="D8" s="11">
        <f>COUNTIFS('Backlog status'!$B$6:$B$46,$A8,'Backlog status'!$I$6:$I$46,"Yes - open items")</f>
        <v/>
      </c>
      <c r="E8" s="11">
        <f>COUNTIFS('Backlog status'!$B$6:$B$46,$A8,'Backlog status'!$I$6:$I$46,"Partly")</f>
        <v/>
      </c>
      <c r="F8" s="11">
        <f>COUNTIFS('Backlog status'!$B$6:$B$46,$A8,'Backlog status'!$I$6:$I$46,"No")</f>
        <v/>
      </c>
      <c r="G8" s="11">
        <f>C8+D8</f>
        <v/>
      </c>
      <c r="H8" s="12">
        <f>IF(B8=0,0,G8/B8)</f>
        <v/>
      </c>
    </row>
    <row r="9">
      <c r="A9" s="10" t="inlineStr">
        <is>
          <t>EX The four things we extract</t>
        </is>
      </c>
      <c r="B9" s="11">
        <f>COUNTIF('Backlog status'!$B$6:$B$46,A9)</f>
        <v/>
      </c>
      <c r="C9" s="11">
        <f>COUNTIFS('Backlog status'!$B$6:$B$46,$A9,'Backlog status'!$I$6:$I$46,"Yes")</f>
        <v/>
      </c>
      <c r="D9" s="11">
        <f>COUNTIFS('Backlog status'!$B$6:$B$46,$A9,'Backlog status'!$I$6:$I$46,"Yes - open items")</f>
        <v/>
      </c>
      <c r="E9" s="11">
        <f>COUNTIFS('Backlog status'!$B$6:$B$46,$A9,'Backlog status'!$I$6:$I$46,"Partly")</f>
        <v/>
      </c>
      <c r="F9" s="11">
        <f>COUNTIFS('Backlog status'!$B$6:$B$46,$A9,'Backlog status'!$I$6:$I$46,"No")</f>
        <v/>
      </c>
      <c r="G9" s="11">
        <f>C9+D9</f>
        <v/>
      </c>
      <c r="H9" s="12">
        <f>IF(B9=0,0,G9/B9)</f>
        <v/>
      </c>
    </row>
    <row r="10">
      <c r="A10" s="10" t="inlineStr">
        <is>
          <t>OUT Save &amp; deliver (database + JSON)</t>
        </is>
      </c>
      <c r="B10" s="11">
        <f>COUNTIF('Backlog status'!$B$6:$B$46,A10)</f>
        <v/>
      </c>
      <c r="C10" s="11">
        <f>COUNTIFS('Backlog status'!$B$6:$B$46,$A10,'Backlog status'!$I$6:$I$46,"Yes")</f>
        <v/>
      </c>
      <c r="D10" s="11">
        <f>COUNTIFS('Backlog status'!$B$6:$B$46,$A10,'Backlog status'!$I$6:$I$46,"Yes - open items")</f>
        <v/>
      </c>
      <c r="E10" s="11">
        <f>COUNTIFS('Backlog status'!$B$6:$B$46,$A10,'Backlog status'!$I$6:$I$46,"Partly")</f>
        <v/>
      </c>
      <c r="F10" s="11">
        <f>COUNTIFS('Backlog status'!$B$6:$B$46,$A10,'Backlog status'!$I$6:$I$46,"No")</f>
        <v/>
      </c>
      <c r="G10" s="11">
        <f>C10+D10</f>
        <v/>
      </c>
      <c r="H10" s="12">
        <f>IF(B10=0,0,G10/B10)</f>
        <v/>
      </c>
    </row>
    <row r="11">
      <c r="A11" s="10" t="inlineStr">
        <is>
          <t>ENT Enterprise readiness</t>
        </is>
      </c>
      <c r="B11" s="11">
        <f>COUNTIF('Backlog status'!$B$6:$B$46,A11)</f>
        <v/>
      </c>
      <c r="C11" s="11">
        <f>COUNTIFS('Backlog status'!$B$6:$B$46,$A11,'Backlog status'!$I$6:$I$46,"Yes")</f>
        <v/>
      </c>
      <c r="D11" s="11">
        <f>COUNTIFS('Backlog status'!$B$6:$B$46,$A11,'Backlog status'!$I$6:$I$46,"Yes - open items")</f>
        <v/>
      </c>
      <c r="E11" s="11">
        <f>COUNTIFS('Backlog status'!$B$6:$B$46,$A11,'Backlog status'!$I$6:$I$46,"Partly")</f>
        <v/>
      </c>
      <c r="F11" s="11">
        <f>COUNTIFS('Backlog status'!$B$6:$B$46,$A11,'Backlog status'!$I$6:$I$46,"No")</f>
        <v/>
      </c>
      <c r="G11" s="11">
        <f>C11+D11</f>
        <v/>
      </c>
      <c r="H11" s="12">
        <f>IF(B11=0,0,G11/B11)</f>
        <v/>
      </c>
    </row>
    <row r="12">
      <c r="A12" s="13" t="inlineStr">
        <is>
          <t>TOTAL</t>
        </is>
      </c>
      <c r="B12" s="14">
        <f>SUM(B4:B11)</f>
        <v/>
      </c>
      <c r="C12" s="14">
        <f>SUM(C4:C11)</f>
        <v/>
      </c>
      <c r="D12" s="14">
        <f>SUM(D4:D11)</f>
        <v/>
      </c>
      <c r="E12" s="14">
        <f>SUM(E4:E11)</f>
        <v/>
      </c>
      <c r="F12" s="14">
        <f>SUM(F4:F11)</f>
        <v/>
      </c>
      <c r="G12" s="14">
        <f>SUM(G4:G11)</f>
        <v/>
      </c>
      <c r="H12" s="15">
        <f>IF(B12=0,0,G12/B12)</f>
        <v/>
      </c>
    </row>
    <row r="14">
      <c r="A14" s="16" t="inlineStr">
        <is>
          <t>'Built' counts a story once its code is written and tested; 'Yes - open items' stories still have a criterion that is partial or waits on outside input - see the 'Backlog status' sheet.</t>
        </is>
      </c>
    </row>
    <row r="15">
      <c r="A15" s="16" t="inlineStr">
        <is>
          <t>Nothing after LS-S4 is committed or pushed to GitHub yet (as of 2026-10-10).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2026-10-10T07:41:07Z</dcterms:created>
  <dcterms:modified xmlns:dcterms="http://purl.org/dc/terms/" xmlns:xsi="http://www.w3.org/2001/XMLSchema-instance" xsi:type="dcterms:W3CDTF">2026-10-10T07:41:07Z</dcterms:modified>
</cp:coreProperties>
</file>